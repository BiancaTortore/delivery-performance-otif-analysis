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OTIF_total" sheetId="2" r:id="rId5"/>
    <sheet state="visible" name="OTIF_by_carrier" sheetId="3" r:id="rId6"/>
    <sheet state="visible" name="leadtime_by_warehouse" sheetId="4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<sst xmlns="http://schemas.openxmlformats.org/spreadsheetml/2006/main" count="193" uniqueCount="32">
  <si>
    <t>order_id</t>
  </si>
  <si>
    <t>customer_city</t>
  </si>
  <si>
    <t>warehouse</t>
  </si>
  <si>
    <t>carrier</t>
  </si>
  <si>
    <t>order_date</t>
  </si>
  <si>
    <t>ship_date</t>
  </si>
  <si>
    <t>delivery_date</t>
  </si>
  <si>
    <t>units</t>
  </si>
  <si>
    <t>status</t>
  </si>
  <si>
    <t>lead_time</t>
  </si>
  <si>
    <t>delay_flag</t>
  </si>
  <si>
    <t>otif_flag</t>
  </si>
  <si>
    <t>Berlin</t>
  </si>
  <si>
    <t>WH1</t>
  </si>
  <si>
    <t>DHL</t>
  </si>
  <si>
    <t>delivered</t>
  </si>
  <si>
    <t>Hamburg</t>
  </si>
  <si>
    <t>WH2</t>
  </si>
  <si>
    <t>Hermes</t>
  </si>
  <si>
    <t>delayed</t>
  </si>
  <si>
    <t>Munich</t>
  </si>
  <si>
    <t>Köln</t>
  </si>
  <si>
    <t>WH3</t>
  </si>
  <si>
    <t>GLS</t>
  </si>
  <si>
    <t>Frankfurt</t>
  </si>
  <si>
    <t>Stuttgart</t>
  </si>
  <si>
    <t>SUM de order_id</t>
  </si>
  <si>
    <t>NO_OTIF</t>
  </si>
  <si>
    <t>OTIF</t>
  </si>
  <si>
    <t>Suma total</t>
  </si>
  <si>
    <t>COUNT de order_id</t>
  </si>
  <si>
    <t>AVERAGE de lead_time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</si>
</sst>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41" sheet="dataset"/>
  </cacheSource>
  <cacheFields>
    <cacheField name="order_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</sharedItems>
    </cacheField>
    <cacheField name="customer_city" numFmtId="0">
      <sharedItems>
        <s v="Berlin"/>
        <s v="Hamburg"/>
        <s v="Munich"/>
        <s v="Köln"/>
        <s v="Frankfurt"/>
        <s v="Stuttgart"/>
      </sharedItems>
    </cacheField>
    <cacheField name="warehouse" numFmtId="0">
      <sharedItems>
        <s v="WH1"/>
        <s v="WH2"/>
        <s v="WH3"/>
      </sharedItems>
    </cacheField>
    <cacheField name="carrier" numFmtId="0">
      <sharedItems>
        <s v="DHL"/>
        <s v="Hermes"/>
        <s v="GLS"/>
      </sharedItems>
    </cacheField>
    <cacheField name="order_date" numFmtId="164">
      <sharedItems containsSemiMixedTypes="0" containsDate="1" containsString="0"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</sharedItems>
    </cacheField>
    <cacheField name="ship_date" numFmtId="164">
      <sharedItems containsSemiMixedTypes="0" containsDate="1" containsString="0"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</sharedItems>
    </cacheField>
    <cacheField name="delivery_date" numFmtId="164">
      <sharedItems containsSemiMixedTypes="0" containsDate="1" containsString="0">
        <d v="2025-01-04T00:00:00Z"/>
        <d v="2025-01-08T00:00:00Z"/>
        <d v="2025-01-05T00:00:00Z"/>
        <d v="2025-01-10T00:00:00Z"/>
        <d v="2025-01-06T00:00:00Z"/>
        <d v="2025-01-09T00:00:00Z"/>
        <d v="2025-01-07T00:00:00Z"/>
        <d v="2025-01-12T00:00:00Z"/>
        <d v="2025-01-11T00:00:00Z"/>
        <d v="2025-01-14T00:00:00Z"/>
        <d v="2025-01-16T00:00:00Z"/>
        <d v="2025-01-13T00:00:00Z"/>
        <d v="2025-01-18T00:00:00Z"/>
        <d v="2025-01-15T00:00:00Z"/>
        <d v="2025-01-17T00:00:00Z"/>
        <d v="2025-01-20T00:00:00Z"/>
        <d v="2025-01-21T00:00:00Z"/>
        <d v="2025-01-22T00:00:00Z"/>
        <d v="2025-01-19T00:00:00Z"/>
        <d v="2025-01-23T00:00:00Z"/>
        <d v="2025-01-25T00:00:00Z"/>
        <d v="2025-01-27T00:00:00Z"/>
        <d v="2025-01-29T00:00:00Z"/>
      </sharedItems>
    </cacheField>
    <cacheField name="units" numFmtId="0">
      <sharedItems containsSemiMixedTypes="0" containsString="0" containsNumber="1" containsInteger="1">
        <n v="3.0"/>
        <n v="1.0"/>
        <n v="5.0"/>
        <n v="2.0"/>
        <n v="4.0"/>
        <n v="6.0"/>
        <n v="7.0"/>
      </sharedItems>
    </cacheField>
    <cacheField name="status" numFmtId="0">
      <sharedItems>
        <s v="delivered"/>
        <s v="delayed"/>
      </sharedItems>
    </cacheField>
    <cacheField name="lead_time" numFmtId="0">
      <sharedItems containsSemiMixedTypes="0" containsString="0" containsNumber="1" containsInteger="1">
        <n v="2.0"/>
        <n v="5.0"/>
        <n v="6.0"/>
        <n v="4.0"/>
        <n v="1.0"/>
        <n v="7.0"/>
        <n v="3.0"/>
      </sharedItems>
    </cacheField>
    <cacheField name="delay_flag" numFmtId="0">
      <sharedItems>
        <s v="on_time"/>
        <s v="delayed"/>
      </sharedItems>
    </cacheField>
    <cacheField name="otif_flag" numFmtId="0">
      <sharedItems>
        <s v="OTIF"/>
        <s v="NO_OTIF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OTIF_total" cacheId="0" dataCaption="" compact="0" compactData="0">
  <location ref="A1:B4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ustomer_c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arehouse" compact="0" outline="0" multipleItemSelectionAllowed="1" showAll="0">
      <items>
        <item x="0"/>
        <item x="1"/>
        <item x="2"/>
        <item t="default"/>
      </items>
    </pivotField>
    <pivotField name="carrier" compact="0" outline="0" multipleItemSelectionAllowed="1" showAll="0">
      <items>
        <item x="0"/>
        <item x="1"/>
        <item x="2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hi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unit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lead_ti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lay_flag" compact="0" outline="0" multipleItemSelectionAllowed="1" showAll="0">
      <items>
        <item x="0"/>
        <item x="1"/>
        <item t="default"/>
      </items>
    </pivotField>
    <pivotField name="otif_flag" axis="axisRow" compact="0" outline="0" multipleItemSelectionAllowed="1" showAll="0" sortType="ascending">
      <items>
        <item x="1"/>
        <item x="0"/>
        <item t="default"/>
      </items>
    </pivotField>
  </pivotFields>
  <rowFields>
    <field x="11"/>
  </rowFields>
  <dataFields>
    <dataField name="SUM of order_id" fld="0" showDataAs="percentOfTotal" baseField="0" numFmtId="10"/>
  </dataFields>
</pivotTableDefinition>
</file>

<file path=xl/pivotTables/pivotTable2.xml><?xml version="1.0" encoding="utf-8"?>
<pivotTableDefinition xmlns="http://schemas.openxmlformats.org/spreadsheetml/2006/main" name="OTIF_by_carrier" cacheId="0" dataCaption="" compact="0" compactData="0">
  <location ref="A1:D6" firstHeaderRow="0" firstDataRow="1" firstDataCol="1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ustomer_c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arehouse" compact="0" outline="0" multipleItemSelectionAllowed="1" showAll="0">
      <items>
        <item x="0"/>
        <item x="1"/>
        <item x="2"/>
        <item t="default"/>
      </items>
    </pivotField>
    <pivotField name="carrier" axis="axisRow" compact="0" outline="0" multipleItemSelectionAllowed="1" showAll="0" sortType="ascending">
      <items>
        <item x="0"/>
        <item x="2"/>
        <item x="1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hi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unit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lead_ti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lay_flag" compact="0" outline="0" multipleItemSelectionAllowed="1" showAll="0">
      <items>
        <item x="0"/>
        <item x="1"/>
        <item t="default"/>
      </items>
    </pivotField>
    <pivotField name="otif_flag" axis="axisCol" compact="0" outline="0" multipleItemSelectionAllowed="1" showAll="0" sortType="ascending">
      <items>
        <item x="1"/>
        <item x="0"/>
        <item t="default"/>
      </items>
    </pivotField>
  </pivotFields>
  <rowFields>
    <field x="3"/>
  </rowFields>
  <colFields>
    <field x="11"/>
  </colFields>
  <dataFields>
    <dataField name="COUNT of order_id" fld="0" subtotal="countNums" showDataAs="percentOfTotal" baseField="0" numFmtId="10"/>
  </dataFields>
</pivotTableDefinition>
</file>

<file path=xl/pivotTables/pivotTable3.xml><?xml version="1.0" encoding="utf-8"?>
<pivotTableDefinition xmlns="http://schemas.openxmlformats.org/spreadsheetml/2006/main" name="leadtime_by_warehouse" cacheId="0" dataCaption="" compact="0" compactData="0">
  <location ref="A1:B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ustomer_c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arehouse" axis="axisRow" compact="0" outline="0" multipleItemSelectionAllowed="1" showAll="0" sortType="ascending">
      <items>
        <item x="0"/>
        <item x="1"/>
        <item x="2"/>
        <item t="default"/>
      </items>
    </pivotField>
    <pivotField name="carrier" compact="0" outline="0" multipleItemSelectionAllowed="1" showAll="0">
      <items>
        <item x="0"/>
        <item x="1"/>
        <item x="2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hi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unit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lead_time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lay_flag" compact="0" outline="0" multipleItemSelectionAllowed="1" showAll="0">
      <items>
        <item x="0"/>
        <item x="1"/>
        <item t="default"/>
      </items>
    </pivotField>
    <pivotField name="otif_flag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AVERAGE of lead_time" fld="9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1001.0</v>
      </c>
      <c r="B2" s="2" t="s">
        <v>12</v>
      </c>
      <c r="C2" s="2" t="s">
        <v>13</v>
      </c>
      <c r="D2" s="2" t="s">
        <v>14</v>
      </c>
      <c r="E2" s="3">
        <v>45658.0</v>
      </c>
      <c r="F2" s="3">
        <v>45659.0</v>
      </c>
      <c r="G2" s="3">
        <v>45661.0</v>
      </c>
      <c r="H2" s="2">
        <v>3.0</v>
      </c>
      <c r="I2" s="2" t="s">
        <v>15</v>
      </c>
      <c r="J2" s="4">
        <f t="shared" ref="J2:J41" si="1">G2-F2</f>
        <v>2</v>
      </c>
      <c r="K2" s="4" t="str">
        <f t="shared" ref="K2:K41" si="2">IF(J2&gt;3,"delayed","on_time")</f>
        <v>on_time</v>
      </c>
      <c r="L2" s="4" t="str">
        <f t="shared" ref="L2:L41" si="3">IF(AND(I2="delivered",J2&lt;=3),"OTIF","NO_OTIF")</f>
        <v>OTIF</v>
      </c>
    </row>
    <row r="3">
      <c r="A3" s="2">
        <v>1002.0</v>
      </c>
      <c r="B3" s="2" t="s">
        <v>16</v>
      </c>
      <c r="C3" s="2" t="s">
        <v>17</v>
      </c>
      <c r="D3" s="2" t="s">
        <v>18</v>
      </c>
      <c r="E3" s="3">
        <v>45658.0</v>
      </c>
      <c r="F3" s="3">
        <v>45660.0</v>
      </c>
      <c r="G3" s="3">
        <v>45665.0</v>
      </c>
      <c r="H3" s="2">
        <v>1.0</v>
      </c>
      <c r="I3" s="2" t="s">
        <v>19</v>
      </c>
      <c r="J3" s="4">
        <f t="shared" si="1"/>
        <v>5</v>
      </c>
      <c r="K3" s="4" t="str">
        <f t="shared" si="2"/>
        <v>delayed</v>
      </c>
      <c r="L3" s="4" t="str">
        <f t="shared" si="3"/>
        <v>NO_OTIF</v>
      </c>
    </row>
    <row r="4">
      <c r="A4" s="2">
        <v>1003.0</v>
      </c>
      <c r="B4" s="2" t="s">
        <v>20</v>
      </c>
      <c r="C4" s="2" t="s">
        <v>13</v>
      </c>
      <c r="D4" s="2" t="s">
        <v>14</v>
      </c>
      <c r="E4" s="3">
        <v>45659.0</v>
      </c>
      <c r="F4" s="3">
        <v>45660.0</v>
      </c>
      <c r="G4" s="3">
        <v>45662.0</v>
      </c>
      <c r="H4" s="2">
        <v>5.0</v>
      </c>
      <c r="I4" s="2" t="s">
        <v>15</v>
      </c>
      <c r="J4" s="4">
        <f t="shared" si="1"/>
        <v>2</v>
      </c>
      <c r="K4" s="4" t="str">
        <f t="shared" si="2"/>
        <v>on_time</v>
      </c>
      <c r="L4" s="4" t="str">
        <f t="shared" si="3"/>
        <v>OTIF</v>
      </c>
    </row>
    <row r="5">
      <c r="A5" s="2">
        <v>1004.0</v>
      </c>
      <c r="B5" s="2" t="s">
        <v>21</v>
      </c>
      <c r="C5" s="2" t="s">
        <v>22</v>
      </c>
      <c r="D5" s="2" t="s">
        <v>23</v>
      </c>
      <c r="E5" s="3">
        <v>45659.0</v>
      </c>
      <c r="F5" s="3">
        <v>45661.0</v>
      </c>
      <c r="G5" s="3">
        <v>45667.0</v>
      </c>
      <c r="H5" s="2">
        <v>2.0</v>
      </c>
      <c r="I5" s="2" t="s">
        <v>19</v>
      </c>
      <c r="J5" s="4">
        <f t="shared" si="1"/>
        <v>6</v>
      </c>
      <c r="K5" s="4" t="str">
        <f t="shared" si="2"/>
        <v>delayed</v>
      </c>
      <c r="L5" s="4" t="str">
        <f t="shared" si="3"/>
        <v>NO_OTIF</v>
      </c>
    </row>
    <row r="6">
      <c r="A6" s="2">
        <v>1005.0</v>
      </c>
      <c r="B6" s="2" t="s">
        <v>24</v>
      </c>
      <c r="C6" s="2" t="s">
        <v>17</v>
      </c>
      <c r="D6" s="2" t="s">
        <v>14</v>
      </c>
      <c r="E6" s="3">
        <v>45660.0</v>
      </c>
      <c r="F6" s="3">
        <v>45661.0</v>
      </c>
      <c r="G6" s="3">
        <v>45663.0</v>
      </c>
      <c r="H6" s="2">
        <v>4.0</v>
      </c>
      <c r="I6" s="2" t="s">
        <v>15</v>
      </c>
      <c r="J6" s="4">
        <f t="shared" si="1"/>
        <v>2</v>
      </c>
      <c r="K6" s="4" t="str">
        <f t="shared" si="2"/>
        <v>on_time</v>
      </c>
      <c r="L6" s="4" t="str">
        <f t="shared" si="3"/>
        <v>OTIF</v>
      </c>
    </row>
    <row r="7">
      <c r="A7" s="2">
        <v>1006.0</v>
      </c>
      <c r="B7" s="2" t="s">
        <v>25</v>
      </c>
      <c r="C7" s="2" t="s">
        <v>13</v>
      </c>
      <c r="D7" s="2" t="s">
        <v>18</v>
      </c>
      <c r="E7" s="3">
        <v>45660.0</v>
      </c>
      <c r="F7" s="3">
        <v>45662.0</v>
      </c>
      <c r="G7" s="3">
        <v>45666.0</v>
      </c>
      <c r="H7" s="2">
        <v>2.0</v>
      </c>
      <c r="I7" s="2" t="s">
        <v>19</v>
      </c>
      <c r="J7" s="4">
        <f t="shared" si="1"/>
        <v>4</v>
      </c>
      <c r="K7" s="4" t="str">
        <f t="shared" si="2"/>
        <v>delayed</v>
      </c>
      <c r="L7" s="4" t="str">
        <f t="shared" si="3"/>
        <v>NO_OTIF</v>
      </c>
    </row>
    <row r="8">
      <c r="A8" s="2">
        <v>1007.0</v>
      </c>
      <c r="B8" s="2" t="s">
        <v>12</v>
      </c>
      <c r="C8" s="2" t="s">
        <v>22</v>
      </c>
      <c r="D8" s="2" t="s">
        <v>23</v>
      </c>
      <c r="E8" s="3">
        <v>45661.0</v>
      </c>
      <c r="F8" s="3">
        <v>45663.0</v>
      </c>
      <c r="G8" s="3">
        <v>45664.0</v>
      </c>
      <c r="H8" s="2">
        <v>6.0</v>
      </c>
      <c r="I8" s="2" t="s">
        <v>15</v>
      </c>
      <c r="J8" s="4">
        <f t="shared" si="1"/>
        <v>1</v>
      </c>
      <c r="K8" s="4" t="str">
        <f t="shared" si="2"/>
        <v>on_time</v>
      </c>
      <c r="L8" s="4" t="str">
        <f t="shared" si="3"/>
        <v>OTIF</v>
      </c>
    </row>
    <row r="9">
      <c r="A9" s="2">
        <v>1008.0</v>
      </c>
      <c r="B9" s="2" t="s">
        <v>16</v>
      </c>
      <c r="C9" s="2" t="s">
        <v>17</v>
      </c>
      <c r="D9" s="2" t="s">
        <v>14</v>
      </c>
      <c r="E9" s="3">
        <v>45661.0</v>
      </c>
      <c r="F9" s="3">
        <v>45662.0</v>
      </c>
      <c r="G9" s="3">
        <v>45669.0</v>
      </c>
      <c r="H9" s="2">
        <v>3.0</v>
      </c>
      <c r="I9" s="2" t="s">
        <v>19</v>
      </c>
      <c r="J9" s="4">
        <f t="shared" si="1"/>
        <v>7</v>
      </c>
      <c r="K9" s="4" t="str">
        <f t="shared" si="2"/>
        <v>delayed</v>
      </c>
      <c r="L9" s="4" t="str">
        <f t="shared" si="3"/>
        <v>NO_OTIF</v>
      </c>
    </row>
    <row r="10">
      <c r="A10" s="2">
        <v>1009.0</v>
      </c>
      <c r="B10" s="2" t="s">
        <v>20</v>
      </c>
      <c r="C10" s="2" t="s">
        <v>13</v>
      </c>
      <c r="D10" s="2" t="s">
        <v>23</v>
      </c>
      <c r="E10" s="3">
        <v>45662.0</v>
      </c>
      <c r="F10" s="3">
        <v>45663.0</v>
      </c>
      <c r="G10" s="3">
        <v>45665.0</v>
      </c>
      <c r="H10" s="2">
        <v>1.0</v>
      </c>
      <c r="I10" s="2" t="s">
        <v>15</v>
      </c>
      <c r="J10" s="4">
        <f t="shared" si="1"/>
        <v>2</v>
      </c>
      <c r="K10" s="4" t="str">
        <f t="shared" si="2"/>
        <v>on_time</v>
      </c>
      <c r="L10" s="4" t="str">
        <f t="shared" si="3"/>
        <v>OTIF</v>
      </c>
    </row>
    <row r="11">
      <c r="A11" s="2">
        <v>1010.0</v>
      </c>
      <c r="B11" s="2" t="s">
        <v>21</v>
      </c>
      <c r="C11" s="2" t="s">
        <v>22</v>
      </c>
      <c r="D11" s="2" t="s">
        <v>18</v>
      </c>
      <c r="E11" s="3">
        <v>45662.0</v>
      </c>
      <c r="F11" s="3">
        <v>45663.0</v>
      </c>
      <c r="G11" s="3">
        <v>45668.0</v>
      </c>
      <c r="H11" s="2">
        <v>4.0</v>
      </c>
      <c r="I11" s="2" t="s">
        <v>19</v>
      </c>
      <c r="J11" s="4">
        <f t="shared" si="1"/>
        <v>5</v>
      </c>
      <c r="K11" s="4" t="str">
        <f t="shared" si="2"/>
        <v>delayed</v>
      </c>
      <c r="L11" s="4" t="str">
        <f t="shared" si="3"/>
        <v>NO_OTIF</v>
      </c>
    </row>
    <row r="12">
      <c r="A12" s="2">
        <v>1011.0</v>
      </c>
      <c r="B12" s="2" t="s">
        <v>12</v>
      </c>
      <c r="C12" s="2" t="s">
        <v>13</v>
      </c>
      <c r="D12" s="2" t="s">
        <v>14</v>
      </c>
      <c r="E12" s="3">
        <v>45663.0</v>
      </c>
      <c r="F12" s="3">
        <v>45664.0</v>
      </c>
      <c r="G12" s="3">
        <v>45665.0</v>
      </c>
      <c r="H12" s="2">
        <v>2.0</v>
      </c>
      <c r="I12" s="2" t="s">
        <v>15</v>
      </c>
      <c r="J12" s="4">
        <f t="shared" si="1"/>
        <v>1</v>
      </c>
      <c r="K12" s="4" t="str">
        <f t="shared" si="2"/>
        <v>on_time</v>
      </c>
      <c r="L12" s="4" t="str">
        <f t="shared" si="3"/>
        <v>OTIF</v>
      </c>
    </row>
    <row r="13">
      <c r="A13" s="2">
        <v>1012.0</v>
      </c>
      <c r="B13" s="2" t="s">
        <v>16</v>
      </c>
      <c r="C13" s="2" t="s">
        <v>22</v>
      </c>
      <c r="D13" s="2" t="s">
        <v>23</v>
      </c>
      <c r="E13" s="3">
        <v>45663.0</v>
      </c>
      <c r="F13" s="3">
        <v>45664.0</v>
      </c>
      <c r="G13" s="3">
        <v>45671.0</v>
      </c>
      <c r="H13" s="2">
        <v>2.0</v>
      </c>
      <c r="I13" s="2" t="s">
        <v>19</v>
      </c>
      <c r="J13" s="4">
        <f t="shared" si="1"/>
        <v>7</v>
      </c>
      <c r="K13" s="4" t="str">
        <f t="shared" si="2"/>
        <v>delayed</v>
      </c>
      <c r="L13" s="4" t="str">
        <f t="shared" si="3"/>
        <v>NO_OTIF</v>
      </c>
    </row>
    <row r="14">
      <c r="A14" s="2">
        <v>1013.0</v>
      </c>
      <c r="B14" s="2" t="s">
        <v>20</v>
      </c>
      <c r="C14" s="2" t="s">
        <v>17</v>
      </c>
      <c r="D14" s="2" t="s">
        <v>18</v>
      </c>
      <c r="E14" s="3">
        <v>45664.0</v>
      </c>
      <c r="F14" s="3">
        <v>45665.0</v>
      </c>
      <c r="G14" s="3">
        <v>45669.0</v>
      </c>
      <c r="H14" s="2">
        <v>7.0</v>
      </c>
      <c r="I14" s="2" t="s">
        <v>19</v>
      </c>
      <c r="J14" s="4">
        <f t="shared" si="1"/>
        <v>4</v>
      </c>
      <c r="K14" s="4" t="str">
        <f t="shared" si="2"/>
        <v>delayed</v>
      </c>
      <c r="L14" s="4" t="str">
        <f t="shared" si="3"/>
        <v>NO_OTIF</v>
      </c>
    </row>
    <row r="15">
      <c r="A15" s="2">
        <v>1014.0</v>
      </c>
      <c r="B15" s="2" t="s">
        <v>25</v>
      </c>
      <c r="C15" s="2" t="s">
        <v>13</v>
      </c>
      <c r="D15" s="2" t="s">
        <v>14</v>
      </c>
      <c r="E15" s="3">
        <v>45664.0</v>
      </c>
      <c r="F15" s="3">
        <v>45665.0</v>
      </c>
      <c r="G15" s="3">
        <v>45667.0</v>
      </c>
      <c r="H15" s="2">
        <v>3.0</v>
      </c>
      <c r="I15" s="2" t="s">
        <v>15</v>
      </c>
      <c r="J15" s="4">
        <f t="shared" si="1"/>
        <v>2</v>
      </c>
      <c r="K15" s="4" t="str">
        <f t="shared" si="2"/>
        <v>on_time</v>
      </c>
      <c r="L15" s="4" t="str">
        <f t="shared" si="3"/>
        <v>OTIF</v>
      </c>
    </row>
    <row r="16">
      <c r="A16" s="2">
        <v>1015.0</v>
      </c>
      <c r="B16" s="2" t="s">
        <v>24</v>
      </c>
      <c r="C16" s="2" t="s">
        <v>17</v>
      </c>
      <c r="D16" s="2" t="s">
        <v>23</v>
      </c>
      <c r="E16" s="3">
        <v>45665.0</v>
      </c>
      <c r="F16" s="3">
        <v>45666.0</v>
      </c>
      <c r="G16" s="3">
        <v>45667.0</v>
      </c>
      <c r="H16" s="2">
        <v>5.0</v>
      </c>
      <c r="I16" s="2" t="s">
        <v>15</v>
      </c>
      <c r="J16" s="4">
        <f t="shared" si="1"/>
        <v>1</v>
      </c>
      <c r="K16" s="4" t="str">
        <f t="shared" si="2"/>
        <v>on_time</v>
      </c>
      <c r="L16" s="4" t="str">
        <f t="shared" si="3"/>
        <v>OTIF</v>
      </c>
    </row>
    <row r="17">
      <c r="A17" s="2">
        <v>1016.0</v>
      </c>
      <c r="B17" s="2" t="s">
        <v>12</v>
      </c>
      <c r="C17" s="2" t="s">
        <v>22</v>
      </c>
      <c r="D17" s="2" t="s">
        <v>14</v>
      </c>
      <c r="E17" s="3">
        <v>45665.0</v>
      </c>
      <c r="F17" s="3">
        <v>45666.0</v>
      </c>
      <c r="G17" s="3">
        <v>45668.0</v>
      </c>
      <c r="H17" s="2">
        <v>2.0</v>
      </c>
      <c r="I17" s="2" t="s">
        <v>15</v>
      </c>
      <c r="J17" s="4">
        <f t="shared" si="1"/>
        <v>2</v>
      </c>
      <c r="K17" s="4" t="str">
        <f t="shared" si="2"/>
        <v>on_time</v>
      </c>
      <c r="L17" s="4" t="str">
        <f t="shared" si="3"/>
        <v>OTIF</v>
      </c>
    </row>
    <row r="18">
      <c r="A18" s="2">
        <v>1017.0</v>
      </c>
      <c r="B18" s="2" t="s">
        <v>16</v>
      </c>
      <c r="C18" s="2" t="s">
        <v>13</v>
      </c>
      <c r="D18" s="2" t="s">
        <v>18</v>
      </c>
      <c r="E18" s="3">
        <v>45666.0</v>
      </c>
      <c r="F18" s="3">
        <v>45667.0</v>
      </c>
      <c r="G18" s="3">
        <v>45673.0</v>
      </c>
      <c r="H18" s="2">
        <v>3.0</v>
      </c>
      <c r="I18" s="2" t="s">
        <v>19</v>
      </c>
      <c r="J18" s="4">
        <f t="shared" si="1"/>
        <v>6</v>
      </c>
      <c r="K18" s="4" t="str">
        <f t="shared" si="2"/>
        <v>delayed</v>
      </c>
      <c r="L18" s="4" t="str">
        <f t="shared" si="3"/>
        <v>NO_OTIF</v>
      </c>
    </row>
    <row r="19">
      <c r="A19" s="2">
        <v>1018.0</v>
      </c>
      <c r="B19" s="2" t="s">
        <v>20</v>
      </c>
      <c r="C19" s="2" t="s">
        <v>17</v>
      </c>
      <c r="D19" s="2" t="s">
        <v>23</v>
      </c>
      <c r="E19" s="3">
        <v>45666.0</v>
      </c>
      <c r="F19" s="3">
        <v>45667.0</v>
      </c>
      <c r="G19" s="3">
        <v>45670.0</v>
      </c>
      <c r="H19" s="2">
        <v>4.0</v>
      </c>
      <c r="I19" s="2" t="s">
        <v>15</v>
      </c>
      <c r="J19" s="4">
        <f t="shared" si="1"/>
        <v>3</v>
      </c>
      <c r="K19" s="4" t="str">
        <f t="shared" si="2"/>
        <v>on_time</v>
      </c>
      <c r="L19" s="4" t="str">
        <f t="shared" si="3"/>
        <v>OTIF</v>
      </c>
    </row>
    <row r="20">
      <c r="A20" s="2">
        <v>1019.0</v>
      </c>
      <c r="B20" s="2" t="s">
        <v>21</v>
      </c>
      <c r="C20" s="2" t="s">
        <v>22</v>
      </c>
      <c r="D20" s="2" t="s">
        <v>14</v>
      </c>
      <c r="E20" s="3">
        <v>45667.0</v>
      </c>
      <c r="F20" s="3">
        <v>45668.0</v>
      </c>
      <c r="G20" s="3">
        <v>45669.0</v>
      </c>
      <c r="H20" s="2">
        <v>1.0</v>
      </c>
      <c r="I20" s="2" t="s">
        <v>15</v>
      </c>
      <c r="J20" s="4">
        <f t="shared" si="1"/>
        <v>1</v>
      </c>
      <c r="K20" s="4" t="str">
        <f t="shared" si="2"/>
        <v>on_time</v>
      </c>
      <c r="L20" s="4" t="str">
        <f t="shared" si="3"/>
        <v>OTIF</v>
      </c>
    </row>
    <row r="21">
      <c r="A21" s="2">
        <v>1020.0</v>
      </c>
      <c r="B21" s="2" t="s">
        <v>24</v>
      </c>
      <c r="C21" s="2" t="s">
        <v>13</v>
      </c>
      <c r="D21" s="2" t="s">
        <v>18</v>
      </c>
      <c r="E21" s="3">
        <v>45667.0</v>
      </c>
      <c r="F21" s="3">
        <v>45668.0</v>
      </c>
      <c r="G21" s="3">
        <v>45675.0</v>
      </c>
      <c r="H21" s="2">
        <v>6.0</v>
      </c>
      <c r="I21" s="2" t="s">
        <v>19</v>
      </c>
      <c r="J21" s="4">
        <f t="shared" si="1"/>
        <v>7</v>
      </c>
      <c r="K21" s="4" t="str">
        <f t="shared" si="2"/>
        <v>delayed</v>
      </c>
      <c r="L21" s="4" t="str">
        <f t="shared" si="3"/>
        <v>NO_OTIF</v>
      </c>
    </row>
    <row r="22">
      <c r="A22" s="2">
        <v>1021.0</v>
      </c>
      <c r="B22" s="2" t="s">
        <v>12</v>
      </c>
      <c r="C22" s="2" t="s">
        <v>17</v>
      </c>
      <c r="D22" s="2" t="s">
        <v>23</v>
      </c>
      <c r="E22" s="3">
        <v>45668.0</v>
      </c>
      <c r="F22" s="3">
        <v>45669.0</v>
      </c>
      <c r="G22" s="3">
        <v>45672.0</v>
      </c>
      <c r="H22" s="2">
        <v>3.0</v>
      </c>
      <c r="I22" s="2" t="s">
        <v>15</v>
      </c>
      <c r="J22" s="4">
        <f t="shared" si="1"/>
        <v>3</v>
      </c>
      <c r="K22" s="4" t="str">
        <f t="shared" si="2"/>
        <v>on_time</v>
      </c>
      <c r="L22" s="4" t="str">
        <f t="shared" si="3"/>
        <v>OTIF</v>
      </c>
    </row>
    <row r="23">
      <c r="A23" s="2">
        <v>1022.0</v>
      </c>
      <c r="B23" s="2" t="s">
        <v>16</v>
      </c>
      <c r="C23" s="2" t="s">
        <v>22</v>
      </c>
      <c r="D23" s="2" t="s">
        <v>14</v>
      </c>
      <c r="E23" s="3">
        <v>45668.0</v>
      </c>
      <c r="F23" s="3">
        <v>45669.0</v>
      </c>
      <c r="G23" s="3">
        <v>45674.0</v>
      </c>
      <c r="H23" s="2">
        <v>2.0</v>
      </c>
      <c r="I23" s="2" t="s">
        <v>19</v>
      </c>
      <c r="J23" s="4">
        <f t="shared" si="1"/>
        <v>5</v>
      </c>
      <c r="K23" s="4" t="str">
        <f t="shared" si="2"/>
        <v>delayed</v>
      </c>
      <c r="L23" s="4" t="str">
        <f t="shared" si="3"/>
        <v>NO_OTIF</v>
      </c>
    </row>
    <row r="24">
      <c r="A24" s="2">
        <v>1023.0</v>
      </c>
      <c r="B24" s="2" t="s">
        <v>20</v>
      </c>
      <c r="C24" s="2" t="s">
        <v>13</v>
      </c>
      <c r="D24" s="2" t="s">
        <v>18</v>
      </c>
      <c r="E24" s="3">
        <v>45669.0</v>
      </c>
      <c r="F24" s="3">
        <v>45670.0</v>
      </c>
      <c r="G24" s="3">
        <v>45673.0</v>
      </c>
      <c r="H24" s="2">
        <v>1.0</v>
      </c>
      <c r="I24" s="2" t="s">
        <v>15</v>
      </c>
      <c r="J24" s="4">
        <f t="shared" si="1"/>
        <v>3</v>
      </c>
      <c r="K24" s="4" t="str">
        <f t="shared" si="2"/>
        <v>on_time</v>
      </c>
      <c r="L24" s="4" t="str">
        <f t="shared" si="3"/>
        <v>OTIF</v>
      </c>
    </row>
    <row r="25">
      <c r="A25" s="2">
        <v>1024.0</v>
      </c>
      <c r="B25" s="2" t="s">
        <v>25</v>
      </c>
      <c r="C25" s="2" t="s">
        <v>17</v>
      </c>
      <c r="D25" s="2" t="s">
        <v>23</v>
      </c>
      <c r="E25" s="3">
        <v>45669.0</v>
      </c>
      <c r="F25" s="3">
        <v>45670.0</v>
      </c>
      <c r="G25" s="3">
        <v>45677.0</v>
      </c>
      <c r="H25" s="2">
        <v>5.0</v>
      </c>
      <c r="I25" s="2" t="s">
        <v>19</v>
      </c>
      <c r="J25" s="4">
        <f t="shared" si="1"/>
        <v>7</v>
      </c>
      <c r="K25" s="4" t="str">
        <f t="shared" si="2"/>
        <v>delayed</v>
      </c>
      <c r="L25" s="4" t="str">
        <f t="shared" si="3"/>
        <v>NO_OTIF</v>
      </c>
    </row>
    <row r="26">
      <c r="A26" s="2">
        <v>1025.0</v>
      </c>
      <c r="B26" s="2" t="s">
        <v>21</v>
      </c>
      <c r="C26" s="2" t="s">
        <v>22</v>
      </c>
      <c r="D26" s="2" t="s">
        <v>14</v>
      </c>
      <c r="E26" s="3">
        <v>45670.0</v>
      </c>
      <c r="F26" s="3">
        <v>45671.0</v>
      </c>
      <c r="G26" s="3">
        <v>45674.0</v>
      </c>
      <c r="H26" s="2">
        <v>4.0</v>
      </c>
      <c r="I26" s="2" t="s">
        <v>15</v>
      </c>
      <c r="J26" s="4">
        <f t="shared" si="1"/>
        <v>3</v>
      </c>
      <c r="K26" s="4" t="str">
        <f t="shared" si="2"/>
        <v>on_time</v>
      </c>
      <c r="L26" s="4" t="str">
        <f t="shared" si="3"/>
        <v>OTIF</v>
      </c>
    </row>
    <row r="27">
      <c r="A27" s="2">
        <v>1026.0</v>
      </c>
      <c r="B27" s="2" t="s">
        <v>24</v>
      </c>
      <c r="C27" s="2" t="s">
        <v>13</v>
      </c>
      <c r="D27" s="2" t="s">
        <v>18</v>
      </c>
      <c r="E27" s="3">
        <v>45670.0</v>
      </c>
      <c r="F27" s="3">
        <v>45672.0</v>
      </c>
      <c r="G27" s="3">
        <v>45678.0</v>
      </c>
      <c r="H27" s="2">
        <v>3.0</v>
      </c>
      <c r="I27" s="2" t="s">
        <v>19</v>
      </c>
      <c r="J27" s="4">
        <f t="shared" si="1"/>
        <v>6</v>
      </c>
      <c r="K27" s="4" t="str">
        <f t="shared" si="2"/>
        <v>delayed</v>
      </c>
      <c r="L27" s="4" t="str">
        <f t="shared" si="3"/>
        <v>NO_OTIF</v>
      </c>
    </row>
    <row r="28">
      <c r="A28" s="2">
        <v>1027.0</v>
      </c>
      <c r="B28" s="2" t="s">
        <v>12</v>
      </c>
      <c r="C28" s="2" t="s">
        <v>17</v>
      </c>
      <c r="D28" s="2" t="s">
        <v>23</v>
      </c>
      <c r="E28" s="3">
        <v>45671.0</v>
      </c>
      <c r="F28" s="3">
        <v>45672.0</v>
      </c>
      <c r="G28" s="3">
        <v>45674.0</v>
      </c>
      <c r="H28" s="2">
        <v>5.0</v>
      </c>
      <c r="I28" s="2" t="s">
        <v>15</v>
      </c>
      <c r="J28" s="4">
        <f t="shared" si="1"/>
        <v>2</v>
      </c>
      <c r="K28" s="4" t="str">
        <f t="shared" si="2"/>
        <v>on_time</v>
      </c>
      <c r="L28" s="4" t="str">
        <f t="shared" si="3"/>
        <v>OTIF</v>
      </c>
    </row>
    <row r="29">
      <c r="A29" s="2">
        <v>1028.0</v>
      </c>
      <c r="B29" s="2" t="s">
        <v>16</v>
      </c>
      <c r="C29" s="2" t="s">
        <v>22</v>
      </c>
      <c r="D29" s="2" t="s">
        <v>14</v>
      </c>
      <c r="E29" s="3">
        <v>45671.0</v>
      </c>
      <c r="F29" s="3">
        <v>45672.0</v>
      </c>
      <c r="G29" s="3">
        <v>45679.0</v>
      </c>
      <c r="H29" s="2">
        <v>2.0</v>
      </c>
      <c r="I29" s="2" t="s">
        <v>19</v>
      </c>
      <c r="J29" s="4">
        <f t="shared" si="1"/>
        <v>7</v>
      </c>
      <c r="K29" s="4" t="str">
        <f t="shared" si="2"/>
        <v>delayed</v>
      </c>
      <c r="L29" s="4" t="str">
        <f t="shared" si="3"/>
        <v>NO_OTIF</v>
      </c>
    </row>
    <row r="30">
      <c r="A30" s="2">
        <v>1029.0</v>
      </c>
      <c r="B30" s="2" t="s">
        <v>20</v>
      </c>
      <c r="C30" s="2" t="s">
        <v>13</v>
      </c>
      <c r="D30" s="2" t="s">
        <v>23</v>
      </c>
      <c r="E30" s="3">
        <v>45672.0</v>
      </c>
      <c r="F30" s="3">
        <v>45673.0</v>
      </c>
      <c r="G30" s="3">
        <v>45676.0</v>
      </c>
      <c r="H30" s="2">
        <v>1.0</v>
      </c>
      <c r="I30" s="2" t="s">
        <v>15</v>
      </c>
      <c r="J30" s="4">
        <f t="shared" si="1"/>
        <v>3</v>
      </c>
      <c r="K30" s="4" t="str">
        <f t="shared" si="2"/>
        <v>on_time</v>
      </c>
      <c r="L30" s="4" t="str">
        <f t="shared" si="3"/>
        <v>OTIF</v>
      </c>
    </row>
    <row r="31">
      <c r="A31" s="2">
        <v>1030.0</v>
      </c>
      <c r="B31" s="2" t="s">
        <v>25</v>
      </c>
      <c r="C31" s="2" t="s">
        <v>17</v>
      </c>
      <c r="D31" s="2" t="s">
        <v>18</v>
      </c>
      <c r="E31" s="3">
        <v>45672.0</v>
      </c>
      <c r="F31" s="3">
        <v>45674.0</v>
      </c>
      <c r="G31" s="3">
        <v>45680.0</v>
      </c>
      <c r="H31" s="2">
        <v>4.0</v>
      </c>
      <c r="I31" s="2" t="s">
        <v>19</v>
      </c>
      <c r="J31" s="4">
        <f t="shared" si="1"/>
        <v>6</v>
      </c>
      <c r="K31" s="4" t="str">
        <f t="shared" si="2"/>
        <v>delayed</v>
      </c>
      <c r="L31" s="4" t="str">
        <f t="shared" si="3"/>
        <v>NO_OTIF</v>
      </c>
    </row>
    <row r="32">
      <c r="A32" s="2">
        <v>1031.0</v>
      </c>
      <c r="B32" s="2" t="s">
        <v>12</v>
      </c>
      <c r="C32" s="2" t="s">
        <v>22</v>
      </c>
      <c r="D32" s="2" t="s">
        <v>14</v>
      </c>
      <c r="E32" s="3">
        <v>45673.0</v>
      </c>
      <c r="F32" s="3">
        <v>45674.0</v>
      </c>
      <c r="G32" s="3">
        <v>45676.0</v>
      </c>
      <c r="H32" s="2">
        <v>6.0</v>
      </c>
      <c r="I32" s="2" t="s">
        <v>15</v>
      </c>
      <c r="J32" s="4">
        <f t="shared" si="1"/>
        <v>2</v>
      </c>
      <c r="K32" s="4" t="str">
        <f t="shared" si="2"/>
        <v>on_time</v>
      </c>
      <c r="L32" s="4" t="str">
        <f t="shared" si="3"/>
        <v>OTIF</v>
      </c>
    </row>
    <row r="33">
      <c r="A33" s="2">
        <v>1032.0</v>
      </c>
      <c r="B33" s="2" t="s">
        <v>16</v>
      </c>
      <c r="C33" s="2" t="s">
        <v>13</v>
      </c>
      <c r="D33" s="2" t="s">
        <v>18</v>
      </c>
      <c r="E33" s="3">
        <v>45673.0</v>
      </c>
      <c r="F33" s="3">
        <v>45675.0</v>
      </c>
      <c r="G33" s="3">
        <v>45682.0</v>
      </c>
      <c r="H33" s="2">
        <v>5.0</v>
      </c>
      <c r="I33" s="2" t="s">
        <v>19</v>
      </c>
      <c r="J33" s="4">
        <f t="shared" si="1"/>
        <v>7</v>
      </c>
      <c r="K33" s="4" t="str">
        <f t="shared" si="2"/>
        <v>delayed</v>
      </c>
      <c r="L33" s="4" t="str">
        <f t="shared" si="3"/>
        <v>NO_OTIF</v>
      </c>
    </row>
    <row r="34">
      <c r="A34" s="2">
        <v>1033.0</v>
      </c>
      <c r="B34" s="2" t="s">
        <v>20</v>
      </c>
      <c r="C34" s="2" t="s">
        <v>17</v>
      </c>
      <c r="D34" s="2" t="s">
        <v>23</v>
      </c>
      <c r="E34" s="3">
        <v>45674.0</v>
      </c>
      <c r="F34" s="3">
        <v>45675.0</v>
      </c>
      <c r="G34" s="3">
        <v>45677.0</v>
      </c>
      <c r="H34" s="2">
        <v>2.0</v>
      </c>
      <c r="I34" s="2" t="s">
        <v>15</v>
      </c>
      <c r="J34" s="4">
        <f t="shared" si="1"/>
        <v>2</v>
      </c>
      <c r="K34" s="4" t="str">
        <f t="shared" si="2"/>
        <v>on_time</v>
      </c>
      <c r="L34" s="4" t="str">
        <f t="shared" si="3"/>
        <v>OTIF</v>
      </c>
    </row>
    <row r="35">
      <c r="A35" s="2">
        <v>1034.0</v>
      </c>
      <c r="B35" s="2" t="s">
        <v>21</v>
      </c>
      <c r="C35" s="2" t="s">
        <v>22</v>
      </c>
      <c r="D35" s="2" t="s">
        <v>14</v>
      </c>
      <c r="E35" s="3">
        <v>45674.0</v>
      </c>
      <c r="F35" s="3">
        <v>45675.0</v>
      </c>
      <c r="G35" s="3">
        <v>45678.0</v>
      </c>
      <c r="H35" s="2">
        <v>3.0</v>
      </c>
      <c r="I35" s="2" t="s">
        <v>15</v>
      </c>
      <c r="J35" s="4">
        <f t="shared" si="1"/>
        <v>3</v>
      </c>
      <c r="K35" s="4" t="str">
        <f t="shared" si="2"/>
        <v>on_time</v>
      </c>
      <c r="L35" s="4" t="str">
        <f t="shared" si="3"/>
        <v>OTIF</v>
      </c>
    </row>
    <row r="36">
      <c r="A36" s="2">
        <v>1035.0</v>
      </c>
      <c r="B36" s="2" t="s">
        <v>24</v>
      </c>
      <c r="C36" s="2" t="s">
        <v>13</v>
      </c>
      <c r="D36" s="2" t="s">
        <v>23</v>
      </c>
      <c r="E36" s="3">
        <v>45675.0</v>
      </c>
      <c r="F36" s="3">
        <v>45676.0</v>
      </c>
      <c r="G36" s="3">
        <v>45682.0</v>
      </c>
      <c r="H36" s="2">
        <v>2.0</v>
      </c>
      <c r="I36" s="2" t="s">
        <v>19</v>
      </c>
      <c r="J36" s="4">
        <f t="shared" si="1"/>
        <v>6</v>
      </c>
      <c r="K36" s="4" t="str">
        <f t="shared" si="2"/>
        <v>delayed</v>
      </c>
      <c r="L36" s="4" t="str">
        <f t="shared" si="3"/>
        <v>NO_OTIF</v>
      </c>
    </row>
    <row r="37">
      <c r="A37" s="2">
        <v>1036.0</v>
      </c>
      <c r="B37" s="2" t="s">
        <v>25</v>
      </c>
      <c r="C37" s="2" t="s">
        <v>17</v>
      </c>
      <c r="D37" s="2" t="s">
        <v>14</v>
      </c>
      <c r="E37" s="3">
        <v>45675.0</v>
      </c>
      <c r="F37" s="3">
        <v>45677.0</v>
      </c>
      <c r="G37" s="3">
        <v>45679.0</v>
      </c>
      <c r="H37" s="2">
        <v>3.0</v>
      </c>
      <c r="I37" s="2" t="s">
        <v>15</v>
      </c>
      <c r="J37" s="4">
        <f t="shared" si="1"/>
        <v>2</v>
      </c>
      <c r="K37" s="4" t="str">
        <f t="shared" si="2"/>
        <v>on_time</v>
      </c>
      <c r="L37" s="4" t="str">
        <f t="shared" si="3"/>
        <v>OTIF</v>
      </c>
    </row>
    <row r="38">
      <c r="A38" s="2">
        <v>1037.0</v>
      </c>
      <c r="B38" s="2" t="s">
        <v>12</v>
      </c>
      <c r="C38" s="2" t="s">
        <v>22</v>
      </c>
      <c r="D38" s="2" t="s">
        <v>18</v>
      </c>
      <c r="E38" s="3">
        <v>45676.0</v>
      </c>
      <c r="F38" s="3">
        <v>45677.0</v>
      </c>
      <c r="G38" s="3">
        <v>45684.0</v>
      </c>
      <c r="H38" s="2">
        <v>4.0</v>
      </c>
      <c r="I38" s="2" t="s">
        <v>19</v>
      </c>
      <c r="J38" s="4">
        <f t="shared" si="1"/>
        <v>7</v>
      </c>
      <c r="K38" s="4" t="str">
        <f t="shared" si="2"/>
        <v>delayed</v>
      </c>
      <c r="L38" s="4" t="str">
        <f t="shared" si="3"/>
        <v>NO_OTIF</v>
      </c>
    </row>
    <row r="39">
      <c r="A39" s="2">
        <v>1038.0</v>
      </c>
      <c r="B39" s="2" t="s">
        <v>16</v>
      </c>
      <c r="C39" s="2" t="s">
        <v>13</v>
      </c>
      <c r="D39" s="2" t="s">
        <v>23</v>
      </c>
      <c r="E39" s="3">
        <v>45676.0</v>
      </c>
      <c r="F39" s="3">
        <v>45677.0</v>
      </c>
      <c r="G39" s="3">
        <v>45679.0</v>
      </c>
      <c r="H39" s="2">
        <v>6.0</v>
      </c>
      <c r="I39" s="2" t="s">
        <v>15</v>
      </c>
      <c r="J39" s="4">
        <f t="shared" si="1"/>
        <v>2</v>
      </c>
      <c r="K39" s="4" t="str">
        <f t="shared" si="2"/>
        <v>on_time</v>
      </c>
      <c r="L39" s="4" t="str">
        <f t="shared" si="3"/>
        <v>OTIF</v>
      </c>
    </row>
    <row r="40">
      <c r="A40" s="2">
        <v>1039.0</v>
      </c>
      <c r="B40" s="2" t="s">
        <v>20</v>
      </c>
      <c r="C40" s="2" t="s">
        <v>17</v>
      </c>
      <c r="D40" s="2" t="s">
        <v>14</v>
      </c>
      <c r="E40" s="3">
        <v>45677.0</v>
      </c>
      <c r="F40" s="3">
        <v>45678.0</v>
      </c>
      <c r="G40" s="3">
        <v>45680.0</v>
      </c>
      <c r="H40" s="2">
        <v>3.0</v>
      </c>
      <c r="I40" s="2" t="s">
        <v>15</v>
      </c>
      <c r="J40" s="4">
        <f t="shared" si="1"/>
        <v>2</v>
      </c>
      <c r="K40" s="4" t="str">
        <f t="shared" si="2"/>
        <v>on_time</v>
      </c>
      <c r="L40" s="4" t="str">
        <f t="shared" si="3"/>
        <v>OTIF</v>
      </c>
    </row>
    <row r="41">
      <c r="A41" s="2">
        <v>1040.0</v>
      </c>
      <c r="B41" s="2" t="s">
        <v>24</v>
      </c>
      <c r="C41" s="2" t="s">
        <v>22</v>
      </c>
      <c r="D41" s="2" t="s">
        <v>18</v>
      </c>
      <c r="E41" s="3">
        <v>45677.0</v>
      </c>
      <c r="F41" s="3">
        <v>45679.0</v>
      </c>
      <c r="G41" s="3">
        <v>45686.0</v>
      </c>
      <c r="H41" s="2">
        <v>5.0</v>
      </c>
      <c r="I41" s="2" t="s">
        <v>19</v>
      </c>
      <c r="J41" s="4">
        <f t="shared" si="1"/>
        <v>7</v>
      </c>
      <c r="K41" s="4" t="str">
        <f t="shared" si="2"/>
        <v>delayed</v>
      </c>
      <c r="L41" s="4" t="str">
        <f t="shared" si="3"/>
        <v>NO_OTIF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